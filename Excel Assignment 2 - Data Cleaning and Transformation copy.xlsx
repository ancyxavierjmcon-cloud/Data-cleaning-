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xr:revisionPtr revIDLastSave="0" documentId="8_{48FA1EB2-1849-7A4C-B5D3-53FBA433F5B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Datase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C3" i="2"/>
  <c r="I3" i="2"/>
  <c r="J3" i="2"/>
  <c r="M3" i="2"/>
  <c r="C4" i="2"/>
  <c r="I4" i="2"/>
  <c r="J4" i="2"/>
  <c r="M4" i="2"/>
  <c r="C5" i="2"/>
  <c r="I5" i="2"/>
  <c r="J5" i="2"/>
  <c r="M5" i="2"/>
  <c r="C6" i="2"/>
  <c r="I6" i="2"/>
  <c r="J6" i="2"/>
  <c r="M6" i="2"/>
  <c r="C7" i="2"/>
  <c r="I7" i="2"/>
  <c r="J7" i="2"/>
  <c r="M7" i="2"/>
  <c r="C8" i="2"/>
  <c r="I8" i="2"/>
  <c r="J8" i="2"/>
  <c r="M8" i="2"/>
  <c r="C9" i="2"/>
  <c r="I9" i="2"/>
  <c r="J9" i="2"/>
  <c r="M9" i="2"/>
  <c r="C10" i="2"/>
  <c r="I10" i="2"/>
  <c r="J10" i="2"/>
  <c r="M10" i="2"/>
  <c r="C11" i="2"/>
  <c r="I11" i="2"/>
  <c r="J11" i="2"/>
  <c r="M11" i="2"/>
  <c r="C12" i="2"/>
  <c r="I12" i="2"/>
  <c r="J12" i="2"/>
  <c r="M12" i="2"/>
  <c r="C13" i="2"/>
  <c r="I13" i="2"/>
  <c r="J13" i="2"/>
  <c r="M13" i="2"/>
  <c r="C14" i="2"/>
  <c r="I14" i="2"/>
  <c r="J14" i="2"/>
  <c r="M14" i="2"/>
  <c r="C15" i="2"/>
  <c r="I15" i="2"/>
  <c r="J15" i="2"/>
  <c r="M15" i="2"/>
  <c r="C16" i="2"/>
  <c r="I16" i="2"/>
  <c r="J16" i="2"/>
  <c r="M16" i="2"/>
  <c r="C17" i="2"/>
  <c r="I17" i="2"/>
  <c r="J17" i="2"/>
  <c r="M17" i="2"/>
  <c r="C18" i="2"/>
  <c r="I18" i="2"/>
  <c r="J18" i="2"/>
  <c r="M18" i="2"/>
  <c r="C2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M2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I2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2" i="2"/>
</calcChain>
</file>

<file path=xl/sharedStrings.xml><?xml version="1.0" encoding="utf-8"?>
<sst xmlns="http://schemas.openxmlformats.org/spreadsheetml/2006/main" count="198" uniqueCount="117">
  <si>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</si>
  <si>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</si>
  <si>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</si>
  <si>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</si>
  <si>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</si>
  <si>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</si>
  <si>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</si>
  <si>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</si>
  <si>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</si>
  <si>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</si>
  <si>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</si>
  <si>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</si>
  <si>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</si>
  <si>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</si>
  <si>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</si>
  <si>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</si>
  <si>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</si>
  <si>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</si>
  <si>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</si>
  <si>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</si>
  <si>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</si>
  <si>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</si>
  <si>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</si>
  <si>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</si>
  <si>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</si>
  <si>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</si>
  <si>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</si>
  <si>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</si>
  <si>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</si>
  <si>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</si>
  <si>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</si>
  <si>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</si>
  <si>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</si>
  <si>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</si>
  <si>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</si>
  <si>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</si>
  <si>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</si>
  <si>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</si>
  <si>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</si>
  <si>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Electroni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</si>
  <si>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</si>
  <si>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</si>
  <si>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</si>
  <si>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</si>
  <si>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</si>
  <si>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</si>
  <si>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</si>
  <si>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</si>
  <si>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</si>
  <si>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</si>
  <si>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</si>
  <si>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</si>
  <si>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</si>
  <si>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</si>
  <si>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</si>
  <si>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</si>
  <si>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</si>
  <si>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</si>
  <si>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</si>
  <si>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</si>
  <si>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</si>
  <si>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</si>
  <si>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</si>
  <si>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</si>
  <si>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</si>
  <si>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</si>
  <si>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</si>
  <si>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</si>
  <si>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</si>
  <si>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</si>
  <si>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</si>
  <si>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</si>
  <si>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</si>
  <si>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</si>
  <si>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</si>
  <si>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</si>
  <si>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</si>
  <si>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</si>
  <si>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</si>
  <si>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</si>
  <si>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</si>
  <si>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</si>
  <si>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 xml:space="preserve">Price imputed </t>
  </si>
  <si>
    <t>Missing price</t>
  </si>
  <si>
    <t>smart phone</t>
  </si>
  <si>
    <t>Smart watch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</si>
  <si>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</si>
  <si>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</si>
  <si>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</si>
  <si>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</si>
  <si>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</si>
  <si>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</si>
  <si>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</si>
  <si>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</si>
  <si>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</si>
  <si>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</si>
  <si>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</si>
  <si>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</si>
  <si>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</si>
  <si>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</si>
  <si>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</si>
  <si>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</si>
  <si>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</si>
  <si>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</si>
  <si>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</si>
  <si>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</si>
  <si>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</si>
  <si>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</si>
  <si>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</si>
  <si>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</si>
  <si>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Column2</t>
  </si>
  <si>
    <t>Country</t>
  </si>
  <si>
    <t>Date</t>
  </si>
  <si>
    <t>electronics</t>
  </si>
  <si>
    <t>Category impute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</si>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</sst>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₹-4009]#,##0.00"/>
    <numFmt numFmtId="172" formatCode="yyyy\-mm\-dd;@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/>
    <xf numFmtId="167" fontId="5" fillId="0" borderId="0" xfId="0" applyNumberFormat="1" applyFont="1"/>
    <xf numFmtId="167" fontId="5" fillId="3" borderId="0" xfId="0" applyNumberFormat="1" applyFont="1" applyFill="1"/>
    <xf numFmtId="167" fontId="7" fillId="2" borderId="0" xfId="0" applyNumberFormat="1" applyFont="1" applyFill="1" applyAlignment="1">
      <alignment horizontal="center"/>
    </xf>
    <xf numFmtId="167" fontId="0" fillId="0" borderId="0" xfId="0" applyNumberFormat="1" applyFont="1" applyAlignment="1"/>
    <xf numFmtId="172" fontId="5" fillId="0" borderId="0" xfId="0" applyNumberFormat="1" applyFont="1"/>
    <xf numFmtId="172" fontId="5" fillId="3" borderId="0" xfId="0" applyNumberFormat="1" applyFont="1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2" formatCode="yyyy\-mm\-dd;@"/>
      <fill>
        <patternFill patternType="solid">
          <fgColor rgb="FFE0F7FA"/>
          <bgColor rgb="FFE0F7FA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[$₹-4009]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[$₹-4009]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DC7B2-3CCD-844B-933F-F494669F2D42}" name="Table1" displayName="Table1" ref="A1:M35" totalsRowShown="0" headerRowDxfId="15" dataDxfId="14">
  <autoFilter ref="A1:M35" xr:uid="{00DDC7B2-3CCD-844B-933F-F494669F2D42}"/>
  <tableColumns count="13">
    <tableColumn id="1" xr3:uid="{D5065C9A-AC69-0846-B8C5-B8EEB9DB2F4A}" name="Product ID" dataDxfId="13"/>
    <tableColumn id="12" xr3:uid="{B236FC9C-452B-A640-9064-74F9C33D13B7}" name="Column2" dataDxfId="12"/>
    <tableColumn id="10" xr3:uid="{79D74761-20CB-844B-BC5A-0786316861CA}" name="Date" dataDxfId="0">
      <calculatedColumnFormula>Table1[[#This Row],[Product ID]]&amp;"-"&amp;Table1[[#This Row],[Column2]]</calculatedColumnFormula>
    </tableColumn>
    <tableColumn id="11" xr3:uid="{DA70B18A-35AE-F343-AE38-271B4C29C3ED}" name="Country" dataDxfId="11"/>
    <tableColumn id="2" xr3:uid="{21CB36C2-E3AE-394B-B29D-E0A381D0A8C3}" name="Product Name" dataDxfId="10"/>
    <tableColumn id="3" xr3:uid="{AF2700CD-8060-5C41-BCC4-8221D3CEAC95}" name="Brand Name" dataDxfId="9"/>
    <tableColumn id="14" xr3:uid="{106596BA-3ADD-0C4B-A4B6-E612AB256311}" name="Product brand" dataDxfId="4">
      <calculatedColumnFormula>Table1[[#This Row],[Product Name]]&amp;" "&amp;Table1[[#This Row],[Brand Name]]</calculatedColumnFormula>
    </tableColumn>
    <tableColumn id="4" xr3:uid="{7FDF4F68-833B-4E4D-B2C4-7B6B19B734D0}" name="Price ($)" dataDxfId="3"/>
    <tableColumn id="9" xr3:uid="{F171DA12-45C9-344E-808B-355889EF635C}" name="Missing price" dataDxfId="8">
      <calculatedColumnFormula>ISBLANK(Table1[[#This Row],[Price ($)]])</calculatedColumnFormula>
    </tableColumn>
    <tableColumn id="8" xr3:uid="{BE0F90A2-1EFA-8E49-A721-B230FA78982F}" name="Price imputed " dataDxfId="2">
      <calculatedColumnFormula>IF(ISBLANK(Table1[[#This Row],[Price ($)]]),AVERAGE(Table1[Price ($)]),H2)</calculatedColumnFormula>
    </tableColumn>
    <tableColumn id="5" xr3:uid="{FA573E0A-D6A9-6F4D-8FED-34785983F367}" name="Quantity" dataDxfId="7"/>
    <tableColumn id="6" xr3:uid="{34CA97A0-3683-954F-8194-B8CB606DD3C9}" name="Category" dataDxfId="6"/>
    <tableColumn id="7" xr3:uid="{1B892B8A-F470-694B-AA59-A0DE03EC5053}" name="Category impute" dataDxfId="5">
      <calculatedColumnFormula>IF(ISBLANK(Table1[[#This Row],[Category]]),"unknown",Table1[[#This Row],[Category]])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9" workbookViewId="0">
      <selection activeCell="E28" sqref="E28"/>
    </sheetView>
  </sheetViews>
  <sheetFormatPr defaultColWidth="12.67578125" defaultRowHeight="15" customHeight="1" x14ac:dyDescent="0.15"/>
  <cols>
    <col min="1" max="1" width="12.67578125" customWidth="1"/>
    <col min="2" max="2" width="7.55078125" customWidth="1"/>
    <col min="3" max="6" width="12.67578125" customWidth="1"/>
  </cols>
  <sheetData>
    <row r="1" spans="1:11" ht="15.75" customHeight="1" x14ac:dyDescent="0.15">
      <c r="A1" s="1" t="s">
        <v>0</v>
      </c>
    </row>
    <row r="2" spans="1:11" ht="15.75" customHeight="1" x14ac:dyDescent="0.15"/>
    <row r="3" spans="1:11" ht="15.75" customHeight="1" x14ac:dyDescent="0.15">
      <c r="B3" s="2" t="s">
        <v>1</v>
      </c>
    </row>
    <row r="4" spans="1:11" ht="15.75" customHeight="1" x14ac:dyDescent="0.15">
      <c r="C4" s="3" t="s">
        <v>2</v>
      </c>
    </row>
    <row r="5" spans="1:11" ht="15.75" customHeight="1" x14ac:dyDescent="0.2">
      <c r="B5" s="4"/>
      <c r="C5" s="3" t="s">
        <v>3</v>
      </c>
    </row>
    <row r="6" spans="1:11" ht="15.75" customHeight="1" x14ac:dyDescent="0.2">
      <c r="B6" s="4"/>
    </row>
    <row r="7" spans="1:11" ht="15.75" customHeight="1" x14ac:dyDescent="0.15">
      <c r="B7" s="2" t="s">
        <v>4</v>
      </c>
    </row>
    <row r="8" spans="1:11" ht="15.75" customHeight="1" x14ac:dyDescent="0.15">
      <c r="C8" s="3" t="s">
        <v>5</v>
      </c>
    </row>
    <row r="9" spans="1:11" ht="15.75" customHeight="1" x14ac:dyDescent="0.15">
      <c r="C9" s="3" t="s">
        <v>6</v>
      </c>
    </row>
    <row r="10" spans="1:11" ht="15.75" customHeight="1" x14ac:dyDescent="0.15">
      <c r="C10" s="3" t="s">
        <v>7</v>
      </c>
    </row>
    <row r="11" spans="1:11" ht="15.75" customHeight="1" x14ac:dyDescent="0.2">
      <c r="B11" s="4"/>
    </row>
    <row r="12" spans="1:11" ht="15.75" customHeight="1" x14ac:dyDescent="0.15">
      <c r="B12" s="2" t="s">
        <v>8</v>
      </c>
    </row>
    <row r="13" spans="1:11" ht="15.75" customHeight="1" x14ac:dyDescent="0.15">
      <c r="B13" s="2"/>
      <c r="C13" s="3" t="s">
        <v>9</v>
      </c>
    </row>
    <row r="14" spans="1:11" ht="15.75" customHeight="1" x14ac:dyDescent="0.15"/>
    <row r="15" spans="1:11" ht="15.75" customHeight="1" x14ac:dyDescent="0.1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1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1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1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1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1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1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1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1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1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1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1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1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tabSelected="1" workbookViewId="0">
      <selection activeCell="C2" sqref="C2:C35"/>
    </sheetView>
  </sheetViews>
  <sheetFormatPr defaultColWidth="12.67578125" defaultRowHeight="15" customHeight="1" x14ac:dyDescent="0.15"/>
  <cols>
    <col min="1" max="3" width="12.67578125" customWidth="1"/>
    <col min="4" max="4" width="11.32421875" bestFit="1" customWidth="1"/>
    <col min="5" max="5" width="14.15625" customWidth="1"/>
    <col min="6" max="9" width="12.67578125" customWidth="1"/>
    <col min="10" max="10" width="12.67578125" style="16" customWidth="1"/>
  </cols>
  <sheetData>
    <row r="1" spans="1:22" ht="15.75" customHeight="1" x14ac:dyDescent="0.15">
      <c r="A1" s="9" t="s">
        <v>19</v>
      </c>
      <c r="B1" s="9" t="s">
        <v>110</v>
      </c>
      <c r="C1" s="9" t="s">
        <v>112</v>
      </c>
      <c r="D1" s="9" t="s">
        <v>111</v>
      </c>
      <c r="E1" s="9" t="s">
        <v>20</v>
      </c>
      <c r="F1" s="9" t="s">
        <v>21</v>
      </c>
      <c r="G1" s="9" t="s">
        <v>115</v>
      </c>
      <c r="H1" s="9" t="s">
        <v>22</v>
      </c>
      <c r="I1" s="9" t="s">
        <v>83</v>
      </c>
      <c r="J1" s="15" t="s">
        <v>82</v>
      </c>
      <c r="K1" s="9" t="s">
        <v>23</v>
      </c>
      <c r="L1" s="9" t="s">
        <v>24</v>
      </c>
      <c r="M1" s="9" t="s">
        <v>114</v>
      </c>
    </row>
    <row r="2" spans="1:22" ht="15.75" customHeight="1" x14ac:dyDescent="0.15">
      <c r="A2" s="10">
        <v>28</v>
      </c>
      <c r="B2" s="10" t="s">
        <v>86</v>
      </c>
      <c r="C2" s="17" t="str">
        <f>Table1[[#This Row],[Product ID]]&amp;"-"&amp;Table1[[#This Row],[Column2]]</f>
        <v>28-JAN</v>
      </c>
      <c r="D2" s="10" t="s">
        <v>87</v>
      </c>
      <c r="E2" s="10" t="s">
        <v>25</v>
      </c>
      <c r="F2" s="10" t="s">
        <v>26</v>
      </c>
      <c r="G2" s="10" t="str">
        <f>Table1[[#This Row],[Product Name]]&amp;" "&amp;Table1[[#This Row],[Brand Name]]</f>
        <v>laptop Dell</v>
      </c>
      <c r="H2" s="13">
        <v>1000</v>
      </c>
      <c r="I2" s="10" t="b">
        <f>ISBLANK(Table1[[#This Row],[Price ($)]])</f>
        <v>0</v>
      </c>
      <c r="J2" s="13">
        <f>IF(ISBLANK(Table1[[#This Row],[Price ($)]]),AVERAGE(Table1[Price ($)]),H2)</f>
        <v>1000</v>
      </c>
      <c r="K2" s="10">
        <v>30</v>
      </c>
      <c r="L2" s="10" t="s">
        <v>27</v>
      </c>
      <c r="M2" s="12" t="str">
        <f>IF(ISBLANK(Table1[[#This Row],[Category]]),"unknown",Table1[[#This Row],[Category]])</f>
        <v>Electronics</v>
      </c>
    </row>
    <row r="3" spans="1:22" ht="15.75" customHeight="1" x14ac:dyDescent="0.15">
      <c r="A3" s="11">
        <v>15</v>
      </c>
      <c r="B3" s="11" t="s">
        <v>88</v>
      </c>
      <c r="C3" s="18" t="str">
        <f>Table1[[#This Row],[Product ID]]&amp;"-"&amp;Table1[[#This Row],[Column2]]</f>
        <v>15-FEB</v>
      </c>
      <c r="D3" s="11" t="s">
        <v>87</v>
      </c>
      <c r="E3" s="11" t="s">
        <v>28</v>
      </c>
      <c r="F3" s="11" t="s">
        <v>29</v>
      </c>
      <c r="G3" s="11" t="str">
        <f>Table1[[#This Row],[Product Name]]&amp;" "&amp;Table1[[#This Row],[Brand Name]]</f>
        <v>Sneakers Nike</v>
      </c>
      <c r="H3" s="14">
        <v>80</v>
      </c>
      <c r="I3" s="11" t="b">
        <f>ISBLANK(Table1[[#This Row],[Price ($)]])</f>
        <v>0</v>
      </c>
      <c r="J3" s="14">
        <f>IF(ISBLANK(Table1[[#This Row],[Price ($)]]),AVERAGE(Table1[Price ($)]),H3)</f>
        <v>80</v>
      </c>
      <c r="K3" s="11">
        <v>15</v>
      </c>
      <c r="L3" s="11" t="s">
        <v>30</v>
      </c>
      <c r="M3" s="12" t="str">
        <f>IF(ISBLANK(Table1[[#This Row],[Category]]),"unknown",Table1[[#This Row],[Category]])</f>
        <v>Fashion</v>
      </c>
      <c r="O3" s="5"/>
      <c r="P3" s="6"/>
      <c r="Q3" s="6"/>
      <c r="R3" s="6"/>
      <c r="S3" s="6"/>
      <c r="T3" s="6"/>
      <c r="U3" s="6"/>
      <c r="V3" s="6"/>
    </row>
    <row r="4" spans="1:22" ht="15.75" customHeight="1" x14ac:dyDescent="0.15">
      <c r="A4" s="10">
        <v>3</v>
      </c>
      <c r="B4" s="10" t="s">
        <v>89</v>
      </c>
      <c r="C4" s="17" t="str">
        <f>Table1[[#This Row],[Product ID]]&amp;"-"&amp;Table1[[#This Row],[Column2]]</f>
        <v>3-MAR</v>
      </c>
      <c r="D4" s="10" t="s">
        <v>87</v>
      </c>
      <c r="E4" s="10" t="s">
        <v>31</v>
      </c>
      <c r="F4" s="10" t="s">
        <v>32</v>
      </c>
      <c r="G4" s="10" t="str">
        <f>Table1[[#This Row],[Product Name]]&amp;" "&amp;Table1[[#This Row],[Brand Name]]</f>
        <v>Coffee Maker Keurig</v>
      </c>
      <c r="H4" s="13">
        <v>130</v>
      </c>
      <c r="I4" s="10" t="b">
        <f>ISBLANK(Table1[[#This Row],[Price ($)]])</f>
        <v>0</v>
      </c>
      <c r="J4" s="13">
        <f>IF(ISBLANK(Table1[[#This Row],[Price ($)]]),AVERAGE(Table1[Price ($)]),H4)</f>
        <v>130</v>
      </c>
      <c r="K4" s="10">
        <v>40</v>
      </c>
      <c r="L4" s="10" t="s">
        <v>33</v>
      </c>
      <c r="M4" s="12" t="str">
        <f>IF(ISBLANK(Table1[[#This Row],[Category]]),"unknown",Table1[[#This Row],[Category]])</f>
        <v>Kitchen</v>
      </c>
      <c r="O4" s="6"/>
      <c r="P4" s="7"/>
      <c r="Q4" s="6"/>
      <c r="R4" s="6"/>
      <c r="S4" s="6"/>
      <c r="T4" s="6"/>
      <c r="U4" s="6"/>
      <c r="V4" s="6"/>
    </row>
    <row r="5" spans="1:22" ht="15.75" customHeight="1" x14ac:dyDescent="0.15">
      <c r="A5" s="11">
        <v>11</v>
      </c>
      <c r="B5" s="11" t="s">
        <v>90</v>
      </c>
      <c r="C5" s="18" t="str">
        <f>Table1[[#This Row],[Product ID]]&amp;"-"&amp;Table1[[#This Row],[Column2]]</f>
        <v>11-APR</v>
      </c>
      <c r="D5" s="11" t="s">
        <v>87</v>
      </c>
      <c r="E5" s="11" t="s">
        <v>84</v>
      </c>
      <c r="F5" s="11" t="s">
        <v>34</v>
      </c>
      <c r="G5" s="11" t="str">
        <f>Table1[[#This Row],[Product Name]]&amp;" "&amp;Table1[[#This Row],[Brand Name]]</f>
        <v>smart phone Samsung</v>
      </c>
      <c r="H5" s="14">
        <v>900</v>
      </c>
      <c r="I5" s="11" t="b">
        <f>ISBLANK(Table1[[#This Row],[Price ($)]])</f>
        <v>0</v>
      </c>
      <c r="J5" s="14">
        <f>IF(ISBLANK(Table1[[#This Row],[Price ($)]]),AVERAGE(Table1[Price ($)]),H5)</f>
        <v>900</v>
      </c>
      <c r="K5" s="11">
        <v>25</v>
      </c>
      <c r="L5" s="11" t="s">
        <v>27</v>
      </c>
      <c r="M5" s="12" t="str">
        <f>IF(ISBLANK(Table1[[#This Row],[Category]]),"unknown",Table1[[#This Row],[Category]])</f>
        <v>Electronics</v>
      </c>
      <c r="O5" s="6"/>
      <c r="P5" s="7"/>
      <c r="Q5" s="6"/>
      <c r="R5" s="6"/>
      <c r="S5" s="6"/>
      <c r="T5" s="6"/>
      <c r="U5" s="6"/>
      <c r="V5" s="6"/>
    </row>
    <row r="6" spans="1:22" ht="15.75" customHeight="1" x14ac:dyDescent="0.15">
      <c r="A6" s="10">
        <v>22</v>
      </c>
      <c r="B6" s="10" t="s">
        <v>91</v>
      </c>
      <c r="C6" s="17" t="str">
        <f>Table1[[#This Row],[Product ID]]&amp;"-"&amp;Table1[[#This Row],[Column2]]</f>
        <v>22-MAY</v>
      </c>
      <c r="D6" s="10" t="s">
        <v>87</v>
      </c>
      <c r="E6" s="10" t="s">
        <v>35</v>
      </c>
      <c r="F6" s="10" t="s">
        <v>36</v>
      </c>
      <c r="G6" s="10" t="str">
        <f>Table1[[#This Row],[Product Name]]&amp;" "&amp;Table1[[#This Row],[Brand Name]]</f>
        <v>Backpack North Face</v>
      </c>
      <c r="H6" s="13">
        <v>70</v>
      </c>
      <c r="I6" s="10" t="b">
        <f>ISBLANK(Table1[[#This Row],[Price ($)]])</f>
        <v>0</v>
      </c>
      <c r="J6" s="13">
        <f>IF(ISBLANK(Table1[[#This Row],[Price ($)]]),AVERAGE(Table1[Price ($)]),H6)</f>
        <v>70</v>
      </c>
      <c r="K6" s="10">
        <v>20</v>
      </c>
      <c r="L6" s="10"/>
      <c r="M6" s="12" t="str">
        <f>IF(ISBLANK(Table1[[#This Row],[Category]]),"unknown",Table1[[#This Row],[Category]])</f>
        <v>unknown</v>
      </c>
    </row>
    <row r="7" spans="1:22" ht="15.75" customHeight="1" x14ac:dyDescent="0.15">
      <c r="A7" s="11">
        <v>7</v>
      </c>
      <c r="B7" s="11" t="s">
        <v>92</v>
      </c>
      <c r="C7" s="18" t="str">
        <f>Table1[[#This Row],[Product ID]]&amp;"-"&amp;Table1[[#This Row],[Column2]]</f>
        <v>7-JUN</v>
      </c>
      <c r="D7" s="11" t="s">
        <v>93</v>
      </c>
      <c r="E7" s="11" t="s">
        <v>37</v>
      </c>
      <c r="F7" s="11" t="s">
        <v>38</v>
      </c>
      <c r="G7" s="11" t="str">
        <f>Table1[[#This Row],[Product Name]]&amp;" "&amp;Table1[[#This Row],[Brand Name]]</f>
        <v>Headphones Sony</v>
      </c>
      <c r="H7" s="14"/>
      <c r="I7" s="11" t="b">
        <f>ISBLANK(Table1[[#This Row],[Price ($)]])</f>
        <v>1</v>
      </c>
      <c r="J7" s="14">
        <f>IF(ISBLANK(Table1[[#This Row],[Price ($)]]),AVERAGE(Table1[Price ($)]),H7)</f>
        <v>309.35483870967744</v>
      </c>
      <c r="K7" s="11">
        <v>45</v>
      </c>
      <c r="L7" s="11" t="s">
        <v>27</v>
      </c>
      <c r="M7" s="12" t="str">
        <f>IF(ISBLANK(Table1[[#This Row],[Category]]),"unknown",Table1[[#This Row],[Category]])</f>
        <v>Electronics</v>
      </c>
    </row>
    <row r="8" spans="1:22" ht="15.75" customHeight="1" x14ac:dyDescent="0.15">
      <c r="A8" s="10">
        <v>19</v>
      </c>
      <c r="B8" s="10" t="s">
        <v>94</v>
      </c>
      <c r="C8" s="17" t="str">
        <f>Table1[[#This Row],[Product ID]]&amp;"-"&amp;Table1[[#This Row],[Column2]]</f>
        <v>19-JUL</v>
      </c>
      <c r="D8" s="10" t="s">
        <v>93</v>
      </c>
      <c r="E8" s="10" t="s">
        <v>40</v>
      </c>
      <c r="F8" s="10" t="s">
        <v>41</v>
      </c>
      <c r="G8" s="10" t="str">
        <f>Table1[[#This Row],[Product Name]]&amp;" "&amp;Table1[[#This Row],[Brand Name]]</f>
        <v>T-shirt Adidas</v>
      </c>
      <c r="H8" s="13">
        <v>30</v>
      </c>
      <c r="I8" s="10" t="b">
        <f>ISBLANK(Table1[[#This Row],[Price ($)]])</f>
        <v>0</v>
      </c>
      <c r="J8" s="13">
        <f>IF(ISBLANK(Table1[[#This Row],[Price ($)]]),AVERAGE(Table1[Price ($)]),H8)</f>
        <v>30</v>
      </c>
      <c r="K8" s="10">
        <v>5</v>
      </c>
      <c r="L8" s="10" t="s">
        <v>30</v>
      </c>
      <c r="M8" s="12" t="str">
        <f>IF(ISBLANK(Table1[[#This Row],[Category]]),"unknown",Table1[[#This Row],[Category]])</f>
        <v>Fashion</v>
      </c>
    </row>
    <row r="9" spans="1:22" ht="15.75" customHeight="1" x14ac:dyDescent="0.15">
      <c r="A9" s="11">
        <v>23</v>
      </c>
      <c r="B9" s="11" t="s">
        <v>95</v>
      </c>
      <c r="C9" s="18" t="str">
        <f>Table1[[#This Row],[Product ID]]&amp;"-"&amp;Table1[[#This Row],[Column2]]</f>
        <v>23-AUG</v>
      </c>
      <c r="D9" s="11" t="s">
        <v>93</v>
      </c>
      <c r="E9" s="11" t="s">
        <v>42</v>
      </c>
      <c r="F9" s="11" t="s">
        <v>43</v>
      </c>
      <c r="G9" s="11" t="str">
        <f>Table1[[#This Row],[Product Name]]&amp;" "&amp;Table1[[#This Row],[Brand Name]]</f>
        <v>Blender Ninja</v>
      </c>
      <c r="H9" s="14">
        <v>90</v>
      </c>
      <c r="I9" s="11" t="b">
        <f>ISBLANK(Table1[[#This Row],[Price ($)]])</f>
        <v>0</v>
      </c>
      <c r="J9" s="14">
        <f>IF(ISBLANK(Table1[[#This Row],[Price ($)]]),AVERAGE(Table1[Price ($)]),H9)</f>
        <v>90</v>
      </c>
      <c r="K9" s="11">
        <v>35</v>
      </c>
      <c r="L9" s="11" t="s">
        <v>33</v>
      </c>
      <c r="M9" s="12" t="str">
        <f>IF(ISBLANK(Table1[[#This Row],[Category]]),"unknown",Table1[[#This Row],[Category]])</f>
        <v>Kitchen</v>
      </c>
    </row>
    <row r="10" spans="1:22" ht="15.75" customHeight="1" x14ac:dyDescent="0.15">
      <c r="A10" s="10">
        <v>5</v>
      </c>
      <c r="B10" s="10" t="s">
        <v>96</v>
      </c>
      <c r="C10" s="17" t="str">
        <f>Table1[[#This Row],[Product ID]]&amp;"-"&amp;Table1[[#This Row],[Column2]]</f>
        <v>5-SEP</v>
      </c>
      <c r="D10" s="10" t="s">
        <v>93</v>
      </c>
      <c r="E10" s="10" t="s">
        <v>44</v>
      </c>
      <c r="F10" s="10" t="s">
        <v>45</v>
      </c>
      <c r="G10" s="10" t="str">
        <f>Table1[[#This Row],[Product Name]]&amp;" "&amp;Table1[[#This Row],[Brand Name]]</f>
        <v>Tablet Apple</v>
      </c>
      <c r="H10" s="13">
        <v>500</v>
      </c>
      <c r="I10" s="10" t="b">
        <f>ISBLANK(Table1[[#This Row],[Price ($)]])</f>
        <v>0</v>
      </c>
      <c r="J10" s="13">
        <f>IF(ISBLANK(Table1[[#This Row],[Price ($)]]),AVERAGE(Table1[Price ($)]),H10)</f>
        <v>500</v>
      </c>
      <c r="K10" s="10">
        <v>50</v>
      </c>
      <c r="L10" s="10" t="s">
        <v>113</v>
      </c>
      <c r="M10" s="12" t="str">
        <f>IF(ISBLANK(Table1[[#This Row],[Category]]),"unknown",Table1[[#This Row],[Category]])</f>
        <v>electronics</v>
      </c>
    </row>
    <row r="11" spans="1:22" ht="15.75" customHeight="1" x14ac:dyDescent="0.15">
      <c r="A11" s="11">
        <v>14</v>
      </c>
      <c r="B11" s="11" t="s">
        <v>97</v>
      </c>
      <c r="C11" s="18" t="str">
        <f>Table1[[#This Row],[Product ID]]&amp;"-"&amp;Table1[[#This Row],[Column2]]</f>
        <v>14-OCT</v>
      </c>
      <c r="D11" s="11" t="s">
        <v>93</v>
      </c>
      <c r="E11" s="11" t="s">
        <v>46</v>
      </c>
      <c r="F11" s="11" t="s">
        <v>47</v>
      </c>
      <c r="G11" s="11" t="str">
        <f>Table1[[#This Row],[Product Name]]&amp;" "&amp;Table1[[#This Row],[Brand Name]]</f>
        <v>Hiking Boots Timberland</v>
      </c>
      <c r="H11" s="14">
        <v>130</v>
      </c>
      <c r="I11" s="11" t="b">
        <f>ISBLANK(Table1[[#This Row],[Price ($)]])</f>
        <v>0</v>
      </c>
      <c r="J11" s="14">
        <f>IF(ISBLANK(Table1[[#This Row],[Price ($)]]),AVERAGE(Table1[Price ($)]),H11)</f>
        <v>130</v>
      </c>
      <c r="K11" s="11">
        <v>10</v>
      </c>
      <c r="L11" s="11" t="s">
        <v>48</v>
      </c>
      <c r="M11" s="12" t="str">
        <f>IF(ISBLANK(Table1[[#This Row],[Category]]),"unknown",Table1[[#This Row],[Category]])</f>
        <v>Outdoor</v>
      </c>
    </row>
    <row r="12" spans="1:22" ht="15.75" customHeight="1" x14ac:dyDescent="0.15">
      <c r="A12" s="10">
        <v>17</v>
      </c>
      <c r="B12" s="10" t="s">
        <v>92</v>
      </c>
      <c r="C12" s="17" t="str">
        <f>Table1[[#This Row],[Product ID]]&amp;"-"&amp;Table1[[#This Row],[Column2]]</f>
        <v>17-JUN</v>
      </c>
      <c r="D12" s="10" t="s">
        <v>98</v>
      </c>
      <c r="E12" s="10" t="s">
        <v>49</v>
      </c>
      <c r="F12" s="10" t="s">
        <v>50</v>
      </c>
      <c r="G12" s="10" t="str">
        <f>Table1[[#This Row],[Product Name]]&amp;" "&amp;Table1[[#This Row],[Brand Name]]</f>
        <v>Laptop HP</v>
      </c>
      <c r="H12" s="13">
        <v>950</v>
      </c>
      <c r="I12" s="10" t="b">
        <f>ISBLANK(Table1[[#This Row],[Price ($)]])</f>
        <v>0</v>
      </c>
      <c r="J12" s="13">
        <f>IF(ISBLANK(Table1[[#This Row],[Price ($)]]),AVERAGE(Table1[Price ($)]),H12)</f>
        <v>950</v>
      </c>
      <c r="K12" s="10">
        <v>25</v>
      </c>
      <c r="L12" s="10" t="s">
        <v>27</v>
      </c>
      <c r="M12" s="12" t="str">
        <f>IF(ISBLANK(Table1[[#This Row],[Category]]),"unknown",Table1[[#This Row],[Category]])</f>
        <v>Electronics</v>
      </c>
    </row>
    <row r="13" spans="1:22" ht="15.75" customHeight="1" x14ac:dyDescent="0.15">
      <c r="A13" s="11">
        <v>25</v>
      </c>
      <c r="B13" s="11" t="s">
        <v>99</v>
      </c>
      <c r="C13" s="18" t="str">
        <f>Table1[[#This Row],[Product ID]]&amp;"-"&amp;Table1[[#This Row],[Column2]]</f>
        <v>25-NOV</v>
      </c>
      <c r="D13" s="11" t="s">
        <v>100</v>
      </c>
      <c r="E13" s="11" t="s">
        <v>28</v>
      </c>
      <c r="F13" s="11" t="s">
        <v>41</v>
      </c>
      <c r="G13" s="11" t="str">
        <f>Table1[[#This Row],[Product Name]]&amp;" "&amp;Table1[[#This Row],[Brand Name]]</f>
        <v>Sneakers Adidas</v>
      </c>
      <c r="H13" s="14">
        <v>90</v>
      </c>
      <c r="I13" s="11" t="b">
        <f>ISBLANK(Table1[[#This Row],[Price ($)]])</f>
        <v>0</v>
      </c>
      <c r="J13" s="14">
        <f>IF(ISBLANK(Table1[[#This Row],[Price ($)]]),AVERAGE(Table1[Price ($)]),H13)</f>
        <v>90</v>
      </c>
      <c r="K13" s="11">
        <v>40</v>
      </c>
      <c r="L13" s="11"/>
      <c r="M13" s="12" t="str">
        <f>IF(ISBLANK(Table1[[#This Row],[Category]]),"unknown",Table1[[#This Row],[Category]])</f>
        <v>unknown</v>
      </c>
    </row>
    <row r="14" spans="1:22" ht="15.75" customHeight="1" x14ac:dyDescent="0.15">
      <c r="A14" s="10">
        <v>8</v>
      </c>
      <c r="B14" s="10" t="s">
        <v>101</v>
      </c>
      <c r="C14" s="17" t="str">
        <f>Table1[[#This Row],[Product ID]]&amp;"-"&amp;Table1[[#This Row],[Column2]]</f>
        <v>8-DEC</v>
      </c>
      <c r="D14" s="10" t="s">
        <v>102</v>
      </c>
      <c r="E14" s="10" t="s">
        <v>31</v>
      </c>
      <c r="F14" s="10" t="s">
        <v>51</v>
      </c>
      <c r="G14" s="10" t="str">
        <f>Table1[[#This Row],[Product Name]]&amp;" "&amp;Table1[[#This Row],[Brand Name]]</f>
        <v>Coffee Maker Nespresso</v>
      </c>
      <c r="H14" s="13">
        <v>120</v>
      </c>
      <c r="I14" s="10" t="b">
        <f>ISBLANK(Table1[[#This Row],[Price ($)]])</f>
        <v>0</v>
      </c>
      <c r="J14" s="13">
        <f>IF(ISBLANK(Table1[[#This Row],[Price ($)]]),AVERAGE(Table1[Price ($)]),H14)</f>
        <v>120</v>
      </c>
      <c r="K14" s="10">
        <v>35</v>
      </c>
      <c r="L14" s="10"/>
      <c r="M14" s="12" t="str">
        <f>IF(ISBLANK(Table1[[#This Row],[Category]]),"unknown",Table1[[#This Row],[Category]])</f>
        <v>unknown</v>
      </c>
    </row>
    <row r="15" spans="1:22" ht="15.75" customHeight="1" x14ac:dyDescent="0.15">
      <c r="A15" s="11">
        <v>18</v>
      </c>
      <c r="B15" s="11" t="s">
        <v>88</v>
      </c>
      <c r="C15" s="18" t="str">
        <f>Table1[[#This Row],[Product ID]]&amp;"-"&amp;Table1[[#This Row],[Column2]]</f>
        <v>18-FEB</v>
      </c>
      <c r="D15" s="11" t="s">
        <v>103</v>
      </c>
      <c r="E15" s="11" t="s">
        <v>85</v>
      </c>
      <c r="F15" s="11" t="s">
        <v>52</v>
      </c>
      <c r="G15" s="11" t="str">
        <f>Table1[[#This Row],[Product Name]]&amp;" "&amp;Table1[[#This Row],[Brand Name]]</f>
        <v>Smart watch Fitbit</v>
      </c>
      <c r="H15" s="14">
        <v>150</v>
      </c>
      <c r="I15" s="11" t="b">
        <f>ISBLANK(Table1[[#This Row],[Price ($)]])</f>
        <v>0</v>
      </c>
      <c r="J15" s="14">
        <f>IF(ISBLANK(Table1[[#This Row],[Price ($)]]),AVERAGE(Table1[Price ($)]),H15)</f>
        <v>150</v>
      </c>
      <c r="K15" s="11">
        <v>15</v>
      </c>
      <c r="L15" s="11" t="s">
        <v>27</v>
      </c>
      <c r="M15" s="12" t="str">
        <f>IF(ISBLANK(Table1[[#This Row],[Category]]),"unknown",Table1[[#This Row],[Category]])</f>
        <v>Electronics</v>
      </c>
    </row>
    <row r="16" spans="1:22" ht="15.75" customHeight="1" x14ac:dyDescent="0.15">
      <c r="A16" s="10">
        <v>16</v>
      </c>
      <c r="B16" s="10" t="s">
        <v>90</v>
      </c>
      <c r="C16" s="17" t="str">
        <f>Table1[[#This Row],[Product ID]]&amp;"-"&amp;Table1[[#This Row],[Column2]]</f>
        <v>16-APR</v>
      </c>
      <c r="D16" s="10" t="s">
        <v>104</v>
      </c>
      <c r="E16" s="10" t="s">
        <v>53</v>
      </c>
      <c r="F16" s="10" t="s">
        <v>54</v>
      </c>
      <c r="G16" s="10" t="str">
        <f>Table1[[#This Row],[Product Name]]&amp;" "&amp;Table1[[#This Row],[Brand Name]]</f>
        <v>headphones Bose</v>
      </c>
      <c r="H16" s="13">
        <v>250</v>
      </c>
      <c r="I16" s="10" t="b">
        <f>ISBLANK(Table1[[#This Row],[Price ($)]])</f>
        <v>0</v>
      </c>
      <c r="J16" s="13">
        <f>IF(ISBLANK(Table1[[#This Row],[Price ($)]]),AVERAGE(Table1[Price ($)]),H16)</f>
        <v>250</v>
      </c>
      <c r="K16" s="10">
        <v>20</v>
      </c>
      <c r="L16" s="10" t="s">
        <v>39</v>
      </c>
      <c r="M16" s="12" t="str">
        <f>IF(ISBLANK(Table1[[#This Row],[Category]]),"unknown",Table1[[#This Row],[Category]])</f>
        <v>Electroni</v>
      </c>
    </row>
    <row r="17" spans="1:13" ht="15.75" customHeight="1" x14ac:dyDescent="0.15">
      <c r="A17" s="11">
        <v>21</v>
      </c>
      <c r="B17" s="11" t="s">
        <v>95</v>
      </c>
      <c r="C17" s="18" t="str">
        <f>Table1[[#This Row],[Product ID]]&amp;"-"&amp;Table1[[#This Row],[Column2]]</f>
        <v>21-AUG</v>
      </c>
      <c r="D17" s="11" t="s">
        <v>103</v>
      </c>
      <c r="E17" s="11" t="s">
        <v>55</v>
      </c>
      <c r="F17" s="11" t="s">
        <v>56</v>
      </c>
      <c r="G17" s="11" t="str">
        <f>Table1[[#This Row],[Product Name]]&amp;" "&amp;Table1[[#This Row],[Brand Name]]</f>
        <v>Laptop Bag Samsonite</v>
      </c>
      <c r="H17" s="14">
        <v>50</v>
      </c>
      <c r="I17" s="11" t="b">
        <f>ISBLANK(Table1[[#This Row],[Price ($)]])</f>
        <v>0</v>
      </c>
      <c r="J17" s="14">
        <f>IF(ISBLANK(Table1[[#This Row],[Price ($)]]),AVERAGE(Table1[Price ($)]),H17)</f>
        <v>50</v>
      </c>
      <c r="K17" s="11">
        <v>35</v>
      </c>
      <c r="L17" s="11" t="s">
        <v>57</v>
      </c>
      <c r="M17" s="12" t="str">
        <f>IF(ISBLANK(Table1[[#This Row],[Category]]),"unknown",Table1[[#This Row],[Category]])</f>
        <v>Accessories</v>
      </c>
    </row>
    <row r="18" spans="1:13" ht="15.75" customHeight="1" x14ac:dyDescent="0.15">
      <c r="A18" s="10">
        <v>20</v>
      </c>
      <c r="B18" s="10" t="s">
        <v>95</v>
      </c>
      <c r="C18" s="17" t="str">
        <f>Table1[[#This Row],[Product ID]]&amp;"-"&amp;Table1[[#This Row],[Column2]]</f>
        <v>20-AUG</v>
      </c>
      <c r="D18" s="10" t="s">
        <v>105</v>
      </c>
      <c r="E18" s="10" t="s">
        <v>85</v>
      </c>
      <c r="F18" s="10" t="s">
        <v>58</v>
      </c>
      <c r="G18" s="10" t="str">
        <f>Table1[[#This Row],[Product Name]]&amp;" "&amp;Table1[[#This Row],[Brand Name]]</f>
        <v>Smart watch Huawei</v>
      </c>
      <c r="H18" s="13">
        <v>160</v>
      </c>
      <c r="I18" s="10" t="b">
        <f>ISBLANK(Table1[[#This Row],[Price ($)]])</f>
        <v>0</v>
      </c>
      <c r="J18" s="13">
        <f>IF(ISBLANK(Table1[[#This Row],[Price ($)]]),AVERAGE(Table1[Price ($)]),H18)</f>
        <v>160</v>
      </c>
      <c r="K18" s="10">
        <v>15</v>
      </c>
      <c r="L18" s="10" t="s">
        <v>27</v>
      </c>
      <c r="M18" s="12" t="str">
        <f>IF(ISBLANK(Table1[[#This Row],[Category]]),"unknown",Table1[[#This Row],[Category]])</f>
        <v>Electronics</v>
      </c>
    </row>
    <row r="19" spans="1:13" ht="15.75" customHeight="1" x14ac:dyDescent="0.15">
      <c r="A19" s="11">
        <v>27</v>
      </c>
      <c r="B19" s="11" t="s">
        <v>86</v>
      </c>
      <c r="C19" s="18" t="str">
        <f>Table1[[#This Row],[Product ID]]&amp;"-"&amp;Table1[[#This Row],[Column2]]</f>
        <v>27-JAN</v>
      </c>
      <c r="D19" s="11" t="s">
        <v>106</v>
      </c>
      <c r="E19" s="11" t="s">
        <v>25</v>
      </c>
      <c r="F19" s="11" t="s">
        <v>59</v>
      </c>
      <c r="G19" s="11" t="str">
        <f>Table1[[#This Row],[Product Name]]&amp;" "&amp;Table1[[#This Row],[Brand Name]]</f>
        <v>laptop Asus</v>
      </c>
      <c r="H19" s="14">
        <v>980</v>
      </c>
      <c r="I19" s="11" t="b">
        <f>ISBLANK(Table1[[#This Row],[Price ($)]])</f>
        <v>0</v>
      </c>
      <c r="J19" s="14">
        <f>IF(ISBLANK(Table1[[#This Row],[Price ($)]]),AVERAGE(Table1[Price ($)]),H19)</f>
        <v>980</v>
      </c>
      <c r="K19" s="11">
        <v>10</v>
      </c>
      <c r="L19" s="11" t="s">
        <v>27</v>
      </c>
      <c r="M19" s="12" t="str">
        <f>IF(ISBLANK(Table1[[#This Row],[Category]]),"unknown",Table1[[#This Row],[Category]])</f>
        <v>Electronics</v>
      </c>
    </row>
    <row r="20" spans="1:13" ht="15.75" customHeight="1" x14ac:dyDescent="0.15">
      <c r="A20" s="10">
        <v>1</v>
      </c>
      <c r="B20" s="10" t="s">
        <v>89</v>
      </c>
      <c r="C20" s="17" t="str">
        <f>Table1[[#This Row],[Product ID]]&amp;"-"&amp;Table1[[#This Row],[Column2]]</f>
        <v>1-MAR</v>
      </c>
      <c r="D20" s="10" t="s">
        <v>93</v>
      </c>
      <c r="E20" s="10" t="s">
        <v>60</v>
      </c>
      <c r="F20" s="10" t="s">
        <v>61</v>
      </c>
      <c r="G20" s="10" t="str">
        <f>Table1[[#This Row],[Product Name]]&amp;" "&amp;Table1[[#This Row],[Brand Name]]</f>
        <v>Sunglasses Oakley</v>
      </c>
      <c r="H20" s="13">
        <v>150</v>
      </c>
      <c r="I20" s="10" t="b">
        <f>ISBLANK(Table1[[#This Row],[Price ($)]])</f>
        <v>0</v>
      </c>
      <c r="J20" s="13">
        <f>IF(ISBLANK(Table1[[#This Row],[Price ($)]]),AVERAGE(Table1[Price ($)]),H20)</f>
        <v>150</v>
      </c>
      <c r="K20" s="10">
        <v>15</v>
      </c>
      <c r="L20" s="10" t="s">
        <v>30</v>
      </c>
      <c r="M20" s="12" t="str">
        <f>IF(ISBLANK(Table1[[#This Row],[Category]]),"unknown",Table1[[#This Row],[Category]])</f>
        <v>Fashion</v>
      </c>
    </row>
    <row r="21" spans="1:13" ht="15.75" customHeight="1" x14ac:dyDescent="0.15">
      <c r="A21" s="11">
        <v>14</v>
      </c>
      <c r="B21" s="11" t="s">
        <v>95</v>
      </c>
      <c r="C21" s="18" t="str">
        <f>Table1[[#This Row],[Product ID]]&amp;"-"&amp;Table1[[#This Row],[Column2]]</f>
        <v>14-AUG</v>
      </c>
      <c r="D21" s="11" t="s">
        <v>87</v>
      </c>
      <c r="E21" s="11" t="s">
        <v>62</v>
      </c>
      <c r="F21" s="11" t="s">
        <v>63</v>
      </c>
      <c r="G21" s="11" t="str">
        <f>Table1[[#This Row],[Product Name]]&amp;" "&amp;Table1[[#This Row],[Brand Name]]</f>
        <v>Camping Tent Coleman</v>
      </c>
      <c r="H21" s="14"/>
      <c r="I21" s="11" t="b">
        <f>ISBLANK(Table1[[#This Row],[Price ($)]])</f>
        <v>1</v>
      </c>
      <c r="J21" s="14">
        <f>IF(ISBLANK(Table1[[#This Row],[Price ($)]]),AVERAGE(Table1[Price ($)]),H21)</f>
        <v>309.35483870967744</v>
      </c>
      <c r="K21" s="11">
        <v>10</v>
      </c>
      <c r="L21" s="11" t="s">
        <v>48</v>
      </c>
      <c r="M21" s="12" t="str">
        <f>IF(ISBLANK(Table1[[#This Row],[Category]]),"unknown",Table1[[#This Row],[Category]])</f>
        <v>Outdoor</v>
      </c>
    </row>
    <row r="22" spans="1:13" ht="15.75" customHeight="1" x14ac:dyDescent="0.15">
      <c r="A22" s="10">
        <v>14</v>
      </c>
      <c r="B22" s="10" t="s">
        <v>91</v>
      </c>
      <c r="C22" s="17" t="str">
        <f>Table1[[#This Row],[Product ID]]&amp;"-"&amp;Table1[[#This Row],[Column2]]</f>
        <v>14-MAY</v>
      </c>
      <c r="D22" s="10" t="s">
        <v>107</v>
      </c>
      <c r="E22" s="10" t="s">
        <v>64</v>
      </c>
      <c r="F22" s="10" t="s">
        <v>65</v>
      </c>
      <c r="G22" s="10" t="str">
        <f>Table1[[#This Row],[Product Name]]&amp;" "&amp;Table1[[#This Row],[Brand Name]]</f>
        <v>Camera Nikon</v>
      </c>
      <c r="H22" s="13">
        <v>700</v>
      </c>
      <c r="I22" s="10" t="b">
        <f>ISBLANK(Table1[[#This Row],[Price ($)]])</f>
        <v>0</v>
      </c>
      <c r="J22" s="13">
        <f>IF(ISBLANK(Table1[[#This Row],[Price ($)]]),AVERAGE(Table1[Price ($)]),H22)</f>
        <v>700</v>
      </c>
      <c r="K22" s="10">
        <v>50</v>
      </c>
      <c r="L22" s="10" t="s">
        <v>27</v>
      </c>
      <c r="M22" s="12" t="str">
        <f>IF(ISBLANK(Table1[[#This Row],[Category]]),"unknown",Table1[[#This Row],[Category]])</f>
        <v>Electronics</v>
      </c>
    </row>
    <row r="23" spans="1:13" ht="15.75" customHeight="1" x14ac:dyDescent="0.15">
      <c r="A23" s="11">
        <v>9</v>
      </c>
      <c r="B23" s="11" t="s">
        <v>86</v>
      </c>
      <c r="C23" s="18" t="str">
        <f>Table1[[#This Row],[Product ID]]&amp;"-"&amp;Table1[[#This Row],[Column2]]</f>
        <v>9-JAN</v>
      </c>
      <c r="D23" s="11" t="s">
        <v>103</v>
      </c>
      <c r="E23" s="11" t="s">
        <v>66</v>
      </c>
      <c r="F23" s="11" t="s">
        <v>67</v>
      </c>
      <c r="G23" s="11" t="str">
        <f>Table1[[#This Row],[Product Name]]&amp;" "&amp;Table1[[#This Row],[Brand Name]]</f>
        <v>Microwave Panasonic</v>
      </c>
      <c r="H23" s="14">
        <v>80</v>
      </c>
      <c r="I23" s="11" t="b">
        <f>ISBLANK(Table1[[#This Row],[Price ($)]])</f>
        <v>0</v>
      </c>
      <c r="J23" s="14">
        <f>IF(ISBLANK(Table1[[#This Row],[Price ($)]]),AVERAGE(Table1[Price ($)]),H23)</f>
        <v>80</v>
      </c>
      <c r="K23" s="11">
        <v>20</v>
      </c>
      <c r="L23" s="11" t="s">
        <v>33</v>
      </c>
      <c r="M23" s="12" t="str">
        <f>IF(ISBLANK(Table1[[#This Row],[Category]]),"unknown",Table1[[#This Row],[Category]])</f>
        <v>Kitchen</v>
      </c>
    </row>
    <row r="24" spans="1:13" ht="15.75" customHeight="1" x14ac:dyDescent="0.15">
      <c r="A24" s="10">
        <v>19</v>
      </c>
      <c r="B24" s="10" t="s">
        <v>94</v>
      </c>
      <c r="C24" s="17" t="str">
        <f>Table1[[#This Row],[Product ID]]&amp;"-"&amp;Table1[[#This Row],[Column2]]</f>
        <v>19-JUL</v>
      </c>
      <c r="D24" s="10" t="s">
        <v>108</v>
      </c>
      <c r="E24" s="10" t="s">
        <v>68</v>
      </c>
      <c r="F24" s="10" t="s">
        <v>69</v>
      </c>
      <c r="G24" s="10" t="str">
        <f>Table1[[#This Row],[Product Name]]&amp;" "&amp;Table1[[#This Row],[Brand Name]]</f>
        <v>Fitness Tracker Xiaomi</v>
      </c>
      <c r="H24" s="13">
        <v>150</v>
      </c>
      <c r="I24" s="10" t="b">
        <f>ISBLANK(Table1[[#This Row],[Price ($)]])</f>
        <v>0</v>
      </c>
      <c r="J24" s="13">
        <f>IF(ISBLANK(Table1[[#This Row],[Price ($)]]),AVERAGE(Table1[Price ($)]),H24)</f>
        <v>150</v>
      </c>
      <c r="K24" s="10">
        <v>30</v>
      </c>
      <c r="L24" s="10"/>
      <c r="M24" s="12" t="str">
        <f>IF(ISBLANK(Table1[[#This Row],[Category]]),"unknown",Table1[[#This Row],[Category]])</f>
        <v>unknown</v>
      </c>
    </row>
    <row r="25" spans="1:13" ht="15.75" customHeight="1" x14ac:dyDescent="0.15">
      <c r="A25" s="11">
        <v>21</v>
      </c>
      <c r="B25" s="11" t="s">
        <v>95</v>
      </c>
      <c r="C25" s="18" t="str">
        <f>Table1[[#This Row],[Product ID]]&amp;"-"&amp;Table1[[#This Row],[Column2]]</f>
        <v>21-AUG</v>
      </c>
      <c r="D25" s="11" t="s">
        <v>103</v>
      </c>
      <c r="E25" s="11" t="s">
        <v>55</v>
      </c>
      <c r="F25" s="11" t="s">
        <v>56</v>
      </c>
      <c r="G25" s="11" t="str">
        <f>Table1[[#This Row],[Product Name]]&amp;" "&amp;Table1[[#This Row],[Brand Name]]</f>
        <v>Laptop Bag Samsonite</v>
      </c>
      <c r="H25" s="14">
        <v>50</v>
      </c>
      <c r="I25" s="11" t="b">
        <f>ISBLANK(Table1[[#This Row],[Price ($)]])</f>
        <v>0</v>
      </c>
      <c r="J25" s="14">
        <f>IF(ISBLANK(Table1[[#This Row],[Price ($)]]),AVERAGE(Table1[Price ($)]),H25)</f>
        <v>50</v>
      </c>
      <c r="K25" s="11">
        <v>35</v>
      </c>
      <c r="L25" s="11" t="s">
        <v>57</v>
      </c>
      <c r="M25" s="12" t="str">
        <f>IF(ISBLANK(Table1[[#This Row],[Category]]),"unknown",Table1[[#This Row],[Category]])</f>
        <v>Accessories</v>
      </c>
    </row>
    <row r="26" spans="1:13" ht="15.75" customHeight="1" x14ac:dyDescent="0.15">
      <c r="A26" s="10">
        <v>29</v>
      </c>
      <c r="B26" s="10" t="s">
        <v>96</v>
      </c>
      <c r="C26" s="17" t="str">
        <f>Table1[[#This Row],[Product ID]]&amp;"-"&amp;Table1[[#This Row],[Column2]]</f>
        <v>29-SEP</v>
      </c>
      <c r="D26" s="10" t="s">
        <v>103</v>
      </c>
      <c r="E26" s="10" t="s">
        <v>84</v>
      </c>
      <c r="F26" s="10" t="s">
        <v>70</v>
      </c>
      <c r="G26" s="10" t="str">
        <f>Table1[[#This Row],[Product Name]]&amp;" "&amp;Table1[[#This Row],[Brand Name]]</f>
        <v>smart phone Google</v>
      </c>
      <c r="H26" s="13">
        <v>800</v>
      </c>
      <c r="I26" s="10" t="b">
        <f>ISBLANK(Table1[[#This Row],[Price ($)]])</f>
        <v>0</v>
      </c>
      <c r="J26" s="13">
        <f>IF(ISBLANK(Table1[[#This Row],[Price ($)]]),AVERAGE(Table1[Price ($)]),H26)</f>
        <v>800</v>
      </c>
      <c r="K26" s="10">
        <v>45</v>
      </c>
      <c r="L26" s="10" t="s">
        <v>27</v>
      </c>
      <c r="M26" s="12" t="str">
        <f>IF(ISBLANK(Table1[[#This Row],[Category]]),"unknown",Table1[[#This Row],[Category]])</f>
        <v>Electronics</v>
      </c>
    </row>
    <row r="27" spans="1:13" ht="15.75" customHeight="1" x14ac:dyDescent="0.15">
      <c r="A27" s="11">
        <v>3</v>
      </c>
      <c r="B27" s="11" t="s">
        <v>92</v>
      </c>
      <c r="C27" s="18" t="str">
        <f>Table1[[#This Row],[Product ID]]&amp;"-"&amp;Table1[[#This Row],[Column2]]</f>
        <v>3-JUN</v>
      </c>
      <c r="D27" s="11" t="s">
        <v>103</v>
      </c>
      <c r="E27" s="11" t="s">
        <v>60</v>
      </c>
      <c r="F27" s="11" t="s">
        <v>71</v>
      </c>
      <c r="G27" s="11" t="str">
        <f>Table1[[#This Row],[Product Name]]&amp;" "&amp;Table1[[#This Row],[Brand Name]]</f>
        <v>Sunglasses Ray-Ban</v>
      </c>
      <c r="H27" s="14"/>
      <c r="I27" s="11" t="b">
        <f>ISBLANK(Table1[[#This Row],[Price ($)]])</f>
        <v>1</v>
      </c>
      <c r="J27" s="14">
        <f>IF(ISBLANK(Table1[[#This Row],[Price ($)]]),AVERAGE(Table1[Price ($)]),H27)</f>
        <v>309.35483870967744</v>
      </c>
      <c r="K27" s="11">
        <v>25</v>
      </c>
      <c r="L27" s="11" t="s">
        <v>30</v>
      </c>
      <c r="M27" s="12" t="str">
        <f>IF(ISBLANK(Table1[[#This Row],[Category]]),"unknown",Table1[[#This Row],[Category]])</f>
        <v>Fashion</v>
      </c>
    </row>
    <row r="28" spans="1:13" ht="15.75" customHeight="1" x14ac:dyDescent="0.15">
      <c r="A28" s="10">
        <v>11</v>
      </c>
      <c r="B28" s="10" t="s">
        <v>94</v>
      </c>
      <c r="C28" s="17" t="str">
        <f>Table1[[#This Row],[Product ID]]&amp;"-"&amp;Table1[[#This Row],[Column2]]</f>
        <v>11-JUL</v>
      </c>
      <c r="D28" s="10" t="s">
        <v>103</v>
      </c>
      <c r="E28" s="10" t="s">
        <v>42</v>
      </c>
      <c r="F28" s="10" t="s">
        <v>72</v>
      </c>
      <c r="G28" s="10" t="str">
        <f>Table1[[#This Row],[Product Name]]&amp;" "&amp;Table1[[#This Row],[Brand Name]]</f>
        <v>Blender Vitamix</v>
      </c>
      <c r="H28" s="13">
        <v>400</v>
      </c>
      <c r="I28" s="10" t="b">
        <f>ISBLANK(Table1[[#This Row],[Price ($)]])</f>
        <v>0</v>
      </c>
      <c r="J28" s="13">
        <f>IF(ISBLANK(Table1[[#This Row],[Price ($)]]),AVERAGE(Table1[Price ($)]),H28)</f>
        <v>400</v>
      </c>
      <c r="K28" s="10">
        <v>40</v>
      </c>
      <c r="L28" s="10" t="s">
        <v>33</v>
      </c>
      <c r="M28" s="12" t="str">
        <f>IF(ISBLANK(Table1[[#This Row],[Category]]),"unknown",Table1[[#This Row],[Category]])</f>
        <v>Kitchen</v>
      </c>
    </row>
    <row r="29" spans="1:13" ht="15.75" customHeight="1" x14ac:dyDescent="0.15">
      <c r="A29" s="11">
        <v>16</v>
      </c>
      <c r="B29" s="11" t="s">
        <v>90</v>
      </c>
      <c r="C29" s="18" t="str">
        <f>Table1[[#This Row],[Product ID]]&amp;"-"&amp;Table1[[#This Row],[Column2]]</f>
        <v>16-APR</v>
      </c>
      <c r="D29" s="11" t="s">
        <v>104</v>
      </c>
      <c r="E29" s="11" t="s">
        <v>53</v>
      </c>
      <c r="F29" s="11" t="s">
        <v>54</v>
      </c>
      <c r="G29" s="11" t="str">
        <f>Table1[[#This Row],[Product Name]]&amp;" "&amp;Table1[[#This Row],[Brand Name]]</f>
        <v>headphones Bose</v>
      </c>
      <c r="H29" s="14">
        <v>250</v>
      </c>
      <c r="I29" s="11" t="b">
        <f>ISBLANK(Table1[[#This Row],[Price ($)]])</f>
        <v>0</v>
      </c>
      <c r="J29" s="14">
        <f>IF(ISBLANK(Table1[[#This Row],[Price ($)]]),AVERAGE(Table1[Price ($)]),H29)</f>
        <v>250</v>
      </c>
      <c r="K29" s="11">
        <v>20</v>
      </c>
      <c r="L29" s="11" t="s">
        <v>27</v>
      </c>
      <c r="M29" s="12" t="str">
        <f>IF(ISBLANK(Table1[[#This Row],[Category]]),"unknown",Table1[[#This Row],[Category]])</f>
        <v>Electronics</v>
      </c>
    </row>
    <row r="30" spans="1:13" ht="15.75" customHeight="1" x14ac:dyDescent="0.15">
      <c r="A30" s="10">
        <v>7</v>
      </c>
      <c r="B30" s="10" t="s">
        <v>89</v>
      </c>
      <c r="C30" s="17" t="str">
        <f>Table1[[#This Row],[Product ID]]&amp;"-"&amp;Table1[[#This Row],[Column2]]</f>
        <v>7-MAR</v>
      </c>
      <c r="D30" s="10" t="s">
        <v>103</v>
      </c>
      <c r="E30" s="10" t="s">
        <v>73</v>
      </c>
      <c r="F30" s="10" t="s">
        <v>74</v>
      </c>
      <c r="G30" s="10" t="str">
        <f>Table1[[#This Row],[Product Name]]&amp;" "&amp;Table1[[#This Row],[Brand Name]]</f>
        <v>Dress Zara</v>
      </c>
      <c r="H30" s="13">
        <v>60</v>
      </c>
      <c r="I30" s="10" t="b">
        <f>ISBLANK(Table1[[#This Row],[Price ($)]])</f>
        <v>0</v>
      </c>
      <c r="J30" s="13">
        <f>IF(ISBLANK(Table1[[#This Row],[Price ($)]]),AVERAGE(Table1[Price ($)]),H30)</f>
        <v>60</v>
      </c>
      <c r="K30" s="10">
        <v>30</v>
      </c>
      <c r="L30" s="10" t="s">
        <v>30</v>
      </c>
      <c r="M30" s="12" t="str">
        <f>IF(ISBLANK(Table1[[#This Row],[Category]]),"unknown",Table1[[#This Row],[Category]])</f>
        <v>Fashion</v>
      </c>
    </row>
    <row r="31" spans="1:13" ht="15.75" customHeight="1" x14ac:dyDescent="0.15">
      <c r="A31" s="11">
        <v>13</v>
      </c>
      <c r="B31" s="11" t="s">
        <v>90</v>
      </c>
      <c r="C31" s="18" t="str">
        <f>Table1[[#This Row],[Product ID]]&amp;"-"&amp;Table1[[#This Row],[Column2]]</f>
        <v>13-APR</v>
      </c>
      <c r="D31" s="11" t="s">
        <v>103</v>
      </c>
      <c r="E31" s="11" t="s">
        <v>75</v>
      </c>
      <c r="F31" s="11" t="s">
        <v>76</v>
      </c>
      <c r="G31" s="11" t="str">
        <f>Table1[[#This Row],[Product Name]]&amp;" "&amp;Table1[[#This Row],[Brand Name]]</f>
        <v>Toaster Hamilton</v>
      </c>
      <c r="H31" s="14">
        <v>40</v>
      </c>
      <c r="I31" s="11" t="b">
        <f>ISBLANK(Table1[[#This Row],[Price ($)]])</f>
        <v>0</v>
      </c>
      <c r="J31" s="14">
        <f>IF(ISBLANK(Table1[[#This Row],[Price ($)]]),AVERAGE(Table1[Price ($)]),H31)</f>
        <v>40</v>
      </c>
      <c r="K31" s="11">
        <v>10</v>
      </c>
      <c r="L31" s="11" t="s">
        <v>33</v>
      </c>
      <c r="M31" s="12" t="str">
        <f>IF(ISBLANK(Table1[[#This Row],[Category]]),"unknown",Table1[[#This Row],[Category]])</f>
        <v>Kitchen</v>
      </c>
    </row>
    <row r="32" spans="1:13" ht="15.75" customHeight="1" x14ac:dyDescent="0.15">
      <c r="A32" s="10">
        <v>24</v>
      </c>
      <c r="B32" s="10" t="s">
        <v>91</v>
      </c>
      <c r="C32" s="17" t="str">
        <f>Table1[[#This Row],[Product ID]]&amp;"-"&amp;Table1[[#This Row],[Column2]]</f>
        <v>24-MAY</v>
      </c>
      <c r="D32" s="10" t="s">
        <v>103</v>
      </c>
      <c r="E32" s="10" t="s">
        <v>68</v>
      </c>
      <c r="F32" s="10" t="s">
        <v>77</v>
      </c>
      <c r="G32" s="10" t="str">
        <f>Table1[[#This Row],[Product Name]]&amp;" "&amp;Table1[[#This Row],[Brand Name]]</f>
        <v>Fitness Tracker Garmin</v>
      </c>
      <c r="H32" s="13">
        <v>130</v>
      </c>
      <c r="I32" s="10" t="b">
        <f>ISBLANK(Table1[[#This Row],[Price ($)]])</f>
        <v>0</v>
      </c>
      <c r="J32" s="13">
        <f>IF(ISBLANK(Table1[[#This Row],[Price ($)]]),AVERAGE(Table1[Price ($)]),H32)</f>
        <v>130</v>
      </c>
      <c r="K32" s="10">
        <v>5</v>
      </c>
      <c r="L32" s="10" t="s">
        <v>27</v>
      </c>
      <c r="M32" s="12" t="str">
        <f>IF(ISBLANK(Table1[[#This Row],[Category]]),"unknown",Table1[[#This Row],[Category]])</f>
        <v>Electronics</v>
      </c>
    </row>
    <row r="33" spans="1:13" ht="15.75" customHeight="1" x14ac:dyDescent="0.15">
      <c r="A33" s="11">
        <v>2</v>
      </c>
      <c r="B33" s="11" t="s">
        <v>101</v>
      </c>
      <c r="C33" s="18" t="str">
        <f>Table1[[#This Row],[Product ID]]&amp;"-"&amp;Table1[[#This Row],[Column2]]</f>
        <v>2-DEC</v>
      </c>
      <c r="D33" s="11" t="s">
        <v>103</v>
      </c>
      <c r="E33" s="11" t="s">
        <v>78</v>
      </c>
      <c r="F33" s="11" t="s">
        <v>79</v>
      </c>
      <c r="G33" s="11" t="str">
        <f>Table1[[#This Row],[Product Name]]&amp;" "&amp;Table1[[#This Row],[Brand Name]]</f>
        <v>Jeans Levi's</v>
      </c>
      <c r="H33" s="14">
        <v>50</v>
      </c>
      <c r="I33" s="11" t="b">
        <f>ISBLANK(Table1[[#This Row],[Price ($)]])</f>
        <v>0</v>
      </c>
      <c r="J33" s="14">
        <f>IF(ISBLANK(Table1[[#This Row],[Price ($)]]),AVERAGE(Table1[Price ($)]),H33)</f>
        <v>50</v>
      </c>
      <c r="K33" s="11">
        <v>50</v>
      </c>
      <c r="L33" s="11" t="s">
        <v>30</v>
      </c>
      <c r="M33" s="12" t="str">
        <f>IF(ISBLANK(Table1[[#This Row],[Category]]),"unknown",Table1[[#This Row],[Category]])</f>
        <v>Fashion</v>
      </c>
    </row>
    <row r="34" spans="1:13" ht="15.75" customHeight="1" x14ac:dyDescent="0.15">
      <c r="A34" s="10">
        <v>17</v>
      </c>
      <c r="B34" s="10" t="s">
        <v>92</v>
      </c>
      <c r="C34" s="17" t="str">
        <f>Table1[[#This Row],[Product ID]]&amp;"-"&amp;Table1[[#This Row],[Column2]]</f>
        <v>17-JUN</v>
      </c>
      <c r="D34" s="10" t="s">
        <v>98</v>
      </c>
      <c r="E34" s="10" t="s">
        <v>49</v>
      </c>
      <c r="F34" s="10" t="s">
        <v>50</v>
      </c>
      <c r="G34" s="10" t="str">
        <f>Table1[[#This Row],[Product Name]]&amp;" "&amp;Table1[[#This Row],[Brand Name]]</f>
        <v>Laptop HP</v>
      </c>
      <c r="H34" s="13">
        <v>950</v>
      </c>
      <c r="I34" s="10" t="b">
        <f>ISBLANK(Table1[[#This Row],[Price ($)]])</f>
        <v>0</v>
      </c>
      <c r="J34" s="13">
        <f>IF(ISBLANK(Table1[[#This Row],[Price ($)]]),AVERAGE(Table1[Price ($)]),H34)</f>
        <v>950</v>
      </c>
      <c r="K34" s="10">
        <v>25</v>
      </c>
      <c r="L34" s="10" t="s">
        <v>27</v>
      </c>
      <c r="M34" s="12" t="str">
        <f>IF(ISBLANK(Table1[[#This Row],[Category]]),"unknown",Table1[[#This Row],[Category]])</f>
        <v>Electronics</v>
      </c>
    </row>
    <row r="35" spans="1:13" ht="15.75" customHeight="1" x14ac:dyDescent="0.15">
      <c r="A35" s="11">
        <v>9</v>
      </c>
      <c r="B35" s="11" t="s">
        <v>94</v>
      </c>
      <c r="C35" s="18" t="str">
        <f>Table1[[#This Row],[Product ID]]&amp;"-"&amp;Table1[[#This Row],[Column2]]</f>
        <v>9-JUL</v>
      </c>
      <c r="D35" s="11" t="s">
        <v>109</v>
      </c>
      <c r="E35" s="11" t="s">
        <v>80</v>
      </c>
      <c r="F35" s="11" t="s">
        <v>81</v>
      </c>
      <c r="G35" s="11" t="str">
        <f>Table1[[#This Row],[Product Name]]&amp;" "&amp;Table1[[#This Row],[Brand Name]]</f>
        <v>Watch Casio</v>
      </c>
      <c r="H35" s="14">
        <v>100</v>
      </c>
      <c r="I35" s="11" t="b">
        <f>ISBLANK(Table1[[#This Row],[Price ($)]])</f>
        <v>0</v>
      </c>
      <c r="J35" s="14">
        <f>IF(ISBLANK(Table1[[#This Row],[Price ($)]]),AVERAGE(Table1[Price ($)]),H35)</f>
        <v>100</v>
      </c>
      <c r="K35" s="11">
        <v>20</v>
      </c>
      <c r="L35" s="11" t="s">
        <v>57</v>
      </c>
      <c r="M35" s="12" t="str">
        <f>IF(ISBLANK(Table1[[#This Row],[Category]]),"unknown",Table1[[#This Row],[Category]])</f>
        <v>Accessories</v>
      </c>
    </row>
    <row r="36" spans="1:13" ht="15.75" customHeight="1" x14ac:dyDescent="0.15"/>
    <row r="37" spans="1:13" ht="15.75" customHeight="1" x14ac:dyDescent="0.15"/>
    <row r="38" spans="1:13" ht="15.75" customHeight="1" x14ac:dyDescent="0.15"/>
    <row r="39" spans="1:13" ht="15.75" customHeight="1" x14ac:dyDescent="0.15"/>
    <row r="40" spans="1:13" ht="15.75" customHeight="1" x14ac:dyDescent="0.15"/>
    <row r="41" spans="1:13" ht="15.75" customHeight="1" x14ac:dyDescent="0.15"/>
    <row r="42" spans="1:13" ht="15.75" customHeight="1" x14ac:dyDescent="0.15"/>
    <row r="43" spans="1:13" ht="15.75" customHeight="1" x14ac:dyDescent="0.15"/>
    <row r="44" spans="1:13" ht="15.75" customHeight="1" x14ac:dyDescent="0.15"/>
    <row r="45" spans="1:13" ht="15.75" customHeight="1" x14ac:dyDescent="0.15"/>
    <row r="46" spans="1:13" ht="15.75" customHeight="1" x14ac:dyDescent="0.15"/>
    <row r="47" spans="1:13" ht="15.75" customHeight="1" x14ac:dyDescent="0.15"/>
    <row r="48" spans="1:1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8" alignment="center"/>
  <conditionalFormatting sqref="J1:J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{86A66F6E-92C1-E04D-A29A-7AAF9773951F}</x14:id>
        </ext>
      </extLst>
    </cfRule>
  </conditionalFormatting>
  <conditionalFormatting sqref="L2:L35">
    <cfRule type="containsText" dxfId="1" priority="1" operator="containsText" text="Electronics">
      <formula>NOT(ISERROR(SEARCH("Electronics",L2)))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A66F6E-92C1-E04D-A29A-7AAF97739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MA1029</dc:creator>
  <dcterms:created xsi:type="dcterms:W3CDTF">2026-10-20T17:46:42Z</dcterms:created>
</cp:coreProperties>
</file>